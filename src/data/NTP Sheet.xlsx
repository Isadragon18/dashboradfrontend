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isaiah.yusuf\Desktop\NPT\"/>
    </mc:Choice>
  </mc:AlternateContent>
  <xr:revisionPtr revIDLastSave="0" documentId="13_ncr:1_{C7F82C18-DD46-410D-96D8-0D619EDA4905}" xr6:coauthVersionLast="47" xr6:coauthVersionMax="47" xr10:uidLastSave="{00000000-0000-0000-0000-000000000000}"/>
  <bookViews>
    <workbookView xWindow="-110" yWindow="-110" windowWidth="19420" windowHeight="10300" xr2:uid="{0B5D70D8-A230-49BE-8F71-6FD85E53BAF8}"/>
  </bookViews>
  <sheets>
    <sheet name="KPI" sheetId="2" r:id="rId1"/>
    <sheet name="mon_npt" sheetId="3" r:id="rId2"/>
    <sheet name="mon_npt_cost" sheetId="4" r:id="rId3"/>
    <sheet name="cat_npt" sheetId="5" r:id="rId4"/>
    <sheet name="par_npt" sheetId="6" r:id="rId5"/>
    <sheet name="phase_npt" sheetId="1" r:id="rId6"/>
  </sheets>
  <externalReferences>
    <externalReference r:id="rId7"/>
  </externalReferences>
  <calcPr calcId="191029"/>
  <pivotCaches>
    <pivotCache cacheId="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8" i="6" l="1"/>
  <c r="C8" i="6"/>
  <c r="D7" i="6"/>
  <c r="C7" i="6"/>
  <c r="D6" i="6"/>
  <c r="C6" i="6"/>
  <c r="D5" i="6"/>
  <c r="C5" i="6"/>
  <c r="D4" i="6"/>
  <c r="C4" i="6"/>
  <c r="D3" i="6"/>
  <c r="C3" i="6"/>
  <c r="D2" i="6"/>
  <c r="C2" i="6"/>
  <c r="D7" i="5"/>
  <c r="C7" i="5"/>
  <c r="D6" i="5"/>
  <c r="C6" i="5"/>
  <c r="D5" i="5"/>
  <c r="C5" i="5"/>
  <c r="D4" i="5"/>
  <c r="C4" i="5"/>
  <c r="D3" i="5"/>
  <c r="C3" i="5"/>
  <c r="D2" i="5"/>
  <c r="C2" i="5"/>
  <c r="F4" i="4"/>
  <c r="E4" i="4"/>
  <c r="D4" i="4"/>
  <c r="F3" i="4"/>
  <c r="E3" i="4"/>
  <c r="D3" i="4"/>
  <c r="F2" i="4"/>
  <c r="E2" i="4"/>
  <c r="D2" i="4"/>
  <c r="C4" i="3"/>
  <c r="B4" i="3"/>
  <c r="C3" i="3"/>
  <c r="B3" i="3"/>
  <c r="C2" i="3"/>
  <c r="B2" i="3"/>
  <c r="B5" i="2"/>
  <c r="B3" i="2"/>
  <c r="D3" i="2" s="1"/>
  <c r="B2" i="2"/>
  <c r="D2" i="2" s="1"/>
  <c r="D7" i="1"/>
  <c r="C7" i="1"/>
  <c r="D6" i="1"/>
  <c r="C6" i="1"/>
  <c r="D5" i="1"/>
  <c r="C5" i="1"/>
  <c r="D4" i="1"/>
  <c r="C4" i="1"/>
  <c r="D3" i="1"/>
  <c r="C3" i="1"/>
  <c r="D2" i="1"/>
  <c r="C2" i="1"/>
  <c r="B4" i="2" l="1"/>
  <c r="B7" i="2" s="1"/>
  <c r="B6" i="2"/>
  <c r="D6" i="2" s="1"/>
</calcChain>
</file>

<file path=xl/sharedStrings.xml><?xml version="1.0" encoding="utf-8"?>
<sst xmlns="http://schemas.openxmlformats.org/spreadsheetml/2006/main" count="54" uniqueCount="45">
  <si>
    <t>Month</t>
  </si>
  <si>
    <t>NPT (Hrs)</t>
  </si>
  <si>
    <t>NPT Cost ($)</t>
  </si>
  <si>
    <t>Category</t>
  </si>
  <si>
    <t>Sum of Hours (hr)</t>
  </si>
  <si>
    <t>Responsible Party</t>
  </si>
  <si>
    <t>Phases</t>
  </si>
  <si>
    <t>KPI</t>
  </si>
  <si>
    <t>Human Error</t>
  </si>
  <si>
    <t>Clinton</t>
  </si>
  <si>
    <t>Conductor Piling/Cleanout</t>
  </si>
  <si>
    <t>Total Rig Hours</t>
  </si>
  <si>
    <t>hrs</t>
  </si>
  <si>
    <t>days</t>
  </si>
  <si>
    <t>Equipment Failure</t>
  </si>
  <si>
    <t>Geowell</t>
  </si>
  <si>
    <t>17-1/2" x  23" Hole Section</t>
  </si>
  <si>
    <t>Total NPT Hours</t>
  </si>
  <si>
    <t>Mechanical</t>
  </si>
  <si>
    <t>SMS Joy</t>
  </si>
  <si>
    <t>16" Hole Section</t>
  </si>
  <si>
    <t>Overall NPT %</t>
  </si>
  <si>
    <t>Mud / Solids</t>
  </si>
  <si>
    <t>TBD</t>
  </si>
  <si>
    <t>12 1/4" Hole Section</t>
  </si>
  <si>
    <t>Total NPT Cost ($)</t>
  </si>
  <si>
    <t>Wellhead</t>
  </si>
  <si>
    <t>Mega Field</t>
  </si>
  <si>
    <t>Perforation and Wellbore Cleanout</t>
  </si>
  <si>
    <t>Productive Hours</t>
  </si>
  <si>
    <t>Cementing</t>
  </si>
  <si>
    <t>MultiChase</t>
  </si>
  <si>
    <t>Completions</t>
  </si>
  <si>
    <t>Productive Time (%)</t>
  </si>
  <si>
    <t>Ulla</t>
  </si>
  <si>
    <t>Sum of NPT Cost 
($)</t>
  </si>
  <si>
    <t>May</t>
  </si>
  <si>
    <t>Jun</t>
  </si>
  <si>
    <t>Jul</t>
  </si>
  <si>
    <t>%</t>
  </si>
  <si>
    <t>$</t>
  </si>
  <si>
    <t>values</t>
  </si>
  <si>
    <t>units</t>
  </si>
  <si>
    <t>sub</t>
  </si>
  <si>
    <t>subUnits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</si>
</sst>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 #,##0_-;_-* &quot;-&quot;??_-;_-@_-"/>
    <numFmt numFmtId="165" formatCode="_-* #,##0.0_-;\-* #,##0.0_-;_-* &quot;-&quot;??_-;_-@_-"/>
    <numFmt numFmtId="166" formatCode="[$-409]d\-mmm\-yy;@"/>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17" fontId="0" fillId="0" borderId="0" xfId="0" applyNumberFormat="1"/>
    <xf numFmtId="43" fontId="0" fillId="0" borderId="0" xfId="1" applyFont="1"/>
    <xf numFmtId="0" fontId="0" fillId="0" borderId="0" xfId="0" applyAlignment="1">
      <alignment horizontal="left"/>
    </xf>
    <xf numFmtId="2" fontId="0" fillId="0" borderId="0" xfId="0" applyNumberFormat="1"/>
    <xf numFmtId="164" fontId="0" fillId="0" borderId="0" xfId="1" applyNumberFormat="1" applyFont="1"/>
    <xf numFmtId="165" fontId="0" fillId="0" borderId="0" xfId="1" applyNumberFormat="1" applyFont="1"/>
    <xf numFmtId="10" fontId="0" fillId="0" borderId="0" xfId="2" applyNumberFormat="1" applyFont="1"/>
    <xf numFmtId="39" fontId="0" fillId="0" borderId="0" xfId="0" applyNumberFormat="1"/>
    <xf numFmtId="10" fontId="0" fillId="0" borderId="0" xfId="0" applyNumberFormat="1"/>
    <xf numFmtId="0" fontId="0" fillId="0" borderId="0" xfId="0" pivotButton="1"/>
    <xf numFmtId="0" fontId="0" fillId="0" borderId="1" xfId="0" pivotButton="1" applyBorder="1"/>
    <xf numFmtId="0" fontId="0" fillId="0" borderId="1" xfId="0" applyBorder="1"/>
    <xf numFmtId="0" fontId="0" fillId="0" borderId="1" xfId="0" applyBorder="1" applyAlignment="1">
      <alignment horizontal="left"/>
    </xf>
    <xf numFmtId="2" fontId="0" fillId="0" borderId="1" xfId="0" applyNumberFormat="1" applyBorder="1"/>
  </cellXfs>
  <cellStyles count="3">
    <cellStyle name="Comma" xfId="1" builtinId="3"/>
    <cellStyle name="Normal" xfId="0" builtinId="0"/>
    <cellStyle name="Percent" xfId="2" builtinId="5"/>
  </cellStyles>
  <dxfs count="1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2" formatCode="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Awoba%20NW%205%20NPT_Drilling_Performance_Dashboard.xlsx" TargetMode="External"/><Relationship Id="rId2" Type="http://schemas.openxmlformats.org/officeDocument/2006/relationships/externalLinkPath" Target="file:///C:\Users\isaiah.yusuf\Desktop\Awoba%20NW%205%20NPT_Drilling_Performance_Dashboard.xlsx" TargetMode="External"/><Relationship Id="rId1" Type="http://schemas.openxmlformats.org/officeDocument/2006/relationships/externalLinkPath" Target="/Users/isaiah.yusuf/Desktop/Awoba%20NW%205%20NPT_Drilling_Performance_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e"/>
      <sheetName val="NPT"/>
      <sheetName val="Metrics"/>
      <sheetName val="Dashboard"/>
      <sheetName val="Validation List"/>
    </sheetNames>
    <sheetDataSet>
      <sheetData sheetId="0">
        <row r="3">
          <cell r="F3">
            <v>100.625</v>
          </cell>
        </row>
      </sheetData>
      <sheetData sheetId="1"/>
      <sheetData sheetId="2"/>
      <sheetData sheetId="3"/>
      <sheetData sheetId="4"/>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isaiah.yusuf/Desktop/Awoba%20NW%205%20NPT_Drilling_Performance_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azor Nwadiaro" refreshedDate="46248.784323842592" createdVersion="8" refreshedVersion="8" minRefreshableVersion="3" recordCount="20" xr:uid="{CC86A3C2-DBE9-4E30-B5AD-4C3EF81B0667}">
  <cacheSource type="worksheet">
    <worksheetSource name="NPT" r:id="rId2"/>
  </cacheSource>
  <cacheFields count="10">
    <cacheField name="Date" numFmtId="166">
      <sharedItems containsSemiMixedTypes="0" containsNonDate="0" containsDate="1" containsString="0" minDate="2026-05-07T00:00:00" maxDate="2026-07-30T00:00:00" count="17">
        <d v="2026-05-07T00:00:00"/>
        <d v="2026-05-11T00:00:00"/>
        <d v="2026-05-14T00:00:00"/>
        <d v="2026-05-19T00:00:00"/>
        <d v="2026-05-27T00:00:00"/>
        <d v="2026-05-31T00:00:00"/>
        <d v="2026-06-05T00:00:00"/>
        <d v="2026-06-13T00:00:00"/>
        <d v="2026-06-18T00:00:00"/>
        <d v="2026-06-19T00:00:00"/>
        <d v="2026-06-22T00:00:00"/>
        <d v="2026-06-27T00:00:00"/>
        <d v="2026-07-04T00:00:00"/>
        <d v="2026-07-05T00:00:00"/>
        <d v="2026-07-12T00:00:00"/>
        <d v="2026-07-26T00:00:00"/>
        <d v="2026-07-29T00:00:00"/>
      </sharedItems>
      <fieldGroup par="9"/>
    </cacheField>
    <cacheField name="Phase" numFmtId="0">
      <sharedItems containsBlank="1" count="9">
        <s v="Conductor Piling/Cleanout"/>
        <s v="17-1/2&quot; x  23&quot; Hole Section"/>
        <s v="16&quot; Hole Section"/>
        <s v="12 1/4&quot; Hole Section"/>
        <s v="Perforation and Wellbore Cleanout"/>
        <s v="Completions"/>
        <m u="1"/>
        <s v="12 1/4 &quot; section" u="1"/>
        <s v="Conductor Cleanout" u="1"/>
      </sharedItems>
    </cacheField>
    <cacheField name="Hours (hr)" numFmtId="2">
      <sharedItems containsSemiMixedTypes="0" containsString="0" containsNumber="1" minValue="0.5" maxValue="140"/>
    </cacheField>
    <cacheField name="Days" numFmtId="2">
      <sharedItems containsSemiMixedTypes="0" containsString="0" containsNumber="1" minValue="2.0833333333333332E-2" maxValue="5.833333333333333"/>
    </cacheField>
    <cacheField name="NPT Cost _x000a_($)" numFmtId="39">
      <sharedItems containsSemiMixedTypes="0" containsString="0" containsNumber="1" minValue="6175.9166666666661" maxValue="1384151.7725041667"/>
    </cacheField>
    <cacheField name="Description" numFmtId="0">
      <sharedItems longText="1"/>
    </cacheField>
    <cacheField name="Category" numFmtId="0">
      <sharedItems containsBlank="1" count="7">
        <s v="Equipment Failure"/>
        <s v="Mud / Solids"/>
        <s v="Mechanical"/>
        <s v="Human Error"/>
        <s v="Cementing"/>
        <s v="Wellhead"/>
        <m u="1"/>
      </sharedItems>
    </cacheField>
    <cacheField name="Responsible Party" numFmtId="0">
      <sharedItems containsBlank="1" count="8">
        <s v="SMS Joy"/>
        <s v="Clinton"/>
        <s v="TBD"/>
        <s v="Geowell"/>
        <s v="Mega Field"/>
        <s v="MultiChase"/>
        <s v="Ulla"/>
        <m u="1"/>
      </sharedItems>
    </cacheField>
    <cacheField name="Days (Date)" numFmtId="0" databaseField="0">
      <fieldGroup base="0">
        <rangePr groupBy="days" startDate="2026-05-07T00:00:00" endDate="2026-07-30T00:00:00"/>
        <groupItems count="368">
          <s v="&lt;5/7/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30/2026"/>
        </groupItems>
      </fieldGroup>
    </cacheField>
    <cacheField name="Months (Date)" numFmtId="0" databaseField="0">
      <fieldGroup base="0">
        <rangePr groupBy="months" startDate="2026-05-07T00:00:00" endDate="2026-07-30T00:00:00"/>
        <groupItems count="14">
          <s v="&lt;5/7/2026"/>
          <s v="Jan"/>
          <s v="Feb"/>
          <s v="Mar"/>
          <s v="Apr"/>
          <s v="May"/>
          <s v="Jun"/>
          <s v="Jul"/>
          <s v="Aug"/>
          <s v="Sep"/>
          <s v="Oct"/>
          <s v="Nov"/>
          <s v="Dec"/>
          <s v="&gt;7/30/2026"/>
        </groupItems>
      </fieldGroup>
    </cacheField>
  </cacheFields>
  <extLst>
    <ext xmlns:x14="http://schemas.microsoft.com/office/spreadsheetml/2009/9/main" uri="{725AE2AE-9491-48be-B2B4-4EB974FC3084}">
      <x14:pivotCacheDefinition pivotCacheId="19860988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0.99999999999999978"/>
    <n v="4.1666666666666657E-2"/>
    <n v="11812.82021083333"/>
    <s v="Operations delayed due to faulty stroke counter while running 23&quot; Rotary BHA; system successfully troubleshot and repaired"/>
    <x v="0"/>
    <x v="0"/>
  </r>
  <r>
    <x v="0"/>
    <x v="0"/>
    <n v="1.5"/>
    <n v="6.25E-2"/>
    <n v="17719.230316249999"/>
    <s v="Observed limited sea-water in pit, POOH 23&quot; Bit 30&quot;-CP Clean-Out Assy T/surface, brk/LD X/Os, 23&quot; bit, bit sub."/>
    <x v="1"/>
    <x v="1"/>
  </r>
  <r>
    <x v="1"/>
    <x v="1"/>
    <n v="23.5"/>
    <n v="0.97916666666666663"/>
    <n v="261104.68780208335"/>
    <s v="Investigated 250 psi pressure drop; tripped pipe (POOH/RIH) to inspect for drill string washouts and bit nozzle integrity."/>
    <x v="2"/>
    <x v="2"/>
  </r>
  <r>
    <x v="2"/>
    <x v="1"/>
    <n v="11.000000000000002"/>
    <n v="0.45833333333333343"/>
    <n v="154575.81734833337"/>
    <s v="Serviced TDS; replaced pipe handler rotating head hydraulic motor, repaired solenoid, and extended cutting chute."/>
    <x v="2"/>
    <x v="0"/>
  </r>
  <r>
    <x v="3"/>
    <x v="1"/>
    <n v="140"/>
    <n v="5.833333333333333"/>
    <n v="1176243.3704733334"/>
    <s v="Mitigated heavy backflow, cleaned out wellbore, and successfully engaged and recovered lost 18-5/8&quot; x 20&quot; casing joints using an ITCO spear fishing assembly; completed a 23&quot; bit clean-out run to bottom prior to re-running  casing"/>
    <x v="3"/>
    <x v="3"/>
  </r>
  <r>
    <x v="4"/>
    <x v="1"/>
    <n v="4.5"/>
    <n v="0.1875"/>
    <n v="58079.607862500008"/>
    <s v="RD Bowel and C-Plate, cut both return lines on 18-5/8&quot; above Rotary, cut false bushing support braces. Torch'd/cut-off flowlines on CP. Meanwhile wait for BOP slings to PU Casing to unset slips."/>
    <x v="0"/>
    <x v="0"/>
  </r>
  <r>
    <x v="5"/>
    <x v="1"/>
    <n v="9.5"/>
    <n v="0.39583333333333331"/>
    <n v="150768.83685604166"/>
    <s v="Operation delayed due to low mud rheology in the 16&quot; hole section; tripped BHA above casing shoe twice to treat, condition, and circulate drilling mud to specification."/>
    <x v="1"/>
    <x v="1"/>
  </r>
  <r>
    <x v="5"/>
    <x v="2"/>
    <n v="25"/>
    <n v="1.0416666666666667"/>
    <n v="307101.13577812497"/>
    <s v="Investigated low standpipe pressure (600 psi @ 750 GPM); checked surface lines/strainers, then POOH to surface to inspect BHA. Laid down 16&quot; mud motor assembly and transitioned to a 16&quot; Rotary BHA pending backup equipment."/>
    <x v="2"/>
    <x v="2"/>
  </r>
  <r>
    <x v="6"/>
    <x v="2"/>
    <n v="11"/>
    <n v="0.45833333333333331"/>
    <n v="135277.12356916667"/>
    <s v="Short-tripped 16&quot; PDC/MM BHA into casing shoe to change out and replace the TDS FH saver sub with an HT55 saver sub"/>
    <x v="2"/>
    <x v="0"/>
  </r>
  <r>
    <x v="7"/>
    <x v="2"/>
    <n v="1.5"/>
    <n v="6.25E-2"/>
    <n v="18472.829787499999"/>
    <s v="Worked on SCR gettting assignment, trouble shooting same &amp; fixed the issue-Ok "/>
    <x v="0"/>
    <x v="0"/>
  </r>
  <r>
    <x v="8"/>
    <x v="2"/>
    <n v="1.0000000000000004"/>
    <n v="4.1666666666666685E-2"/>
    <n v="16551.943246666673"/>
    <s v="Changed out Existing FMS &amp; replaced same with back up FMS -OK."/>
    <x v="0"/>
    <x v="4"/>
  </r>
  <r>
    <x v="9"/>
    <x v="2"/>
    <n v="1.5"/>
    <n v="6.25E-2"/>
    <n v="25995.355449999999"/>
    <s v="Repaired faulty cement head down valve. Dropped bottom plug. Commenced pumping 12.5 ppg lead slurry. Fixed engine fan belt after unit shutdown."/>
    <x v="4"/>
    <x v="5"/>
  </r>
  <r>
    <x v="10"/>
    <x v="2"/>
    <n v="4"/>
    <n v="0.16666666666666666"/>
    <n v="40590.666941666663"/>
    <s v="Attempted to pressure test casing againt cement  to 500psi observed &amp; observed leakage from CHH, Well head engineer work on CHH &amp; Re-tightened CHH bolts-OK."/>
    <x v="5"/>
    <x v="6"/>
  </r>
  <r>
    <x v="11"/>
    <x v="3"/>
    <n v="112.5"/>
    <n v="4.6875"/>
    <n v="1384151.7725041667"/>
    <s v="Encountered a tight spot while pulling out of hole (POOH), performed rig maintenance on the standpipe, IBOP, and TDS, then suffered a pressure spike and lost returns upon running back in hole (RBIH), which required working the stuck string for several hours until pipe movement and full fluid returns were successfully restored before pumping a high-viscosity sweep."/>
    <x v="0"/>
    <x v="0"/>
  </r>
  <r>
    <x v="12"/>
    <x v="3"/>
    <n v="0.5"/>
    <n v="2.0833333333333332E-2"/>
    <n v="6175.9166666666661"/>
    <s v="TDS hydraulic hose leakage"/>
    <x v="0"/>
    <x v="0"/>
  </r>
  <r>
    <x v="13"/>
    <x v="3"/>
    <n v="2.5"/>
    <n v="0.10416666666666667"/>
    <n v="30889.583333333336"/>
    <s v="TDS hydraulic hose leakage"/>
    <x v="0"/>
    <x v="0"/>
  </r>
  <r>
    <x v="13"/>
    <x v="3"/>
    <n v="1"/>
    <n v="4.1666666666666664E-2"/>
    <n v="12355.833333333332"/>
    <s v="Mud pump swab leakage"/>
    <x v="0"/>
    <x v="0"/>
  </r>
  <r>
    <x v="14"/>
    <x v="3"/>
    <n v="3"/>
    <n v="0.125"/>
    <n v="36414.125"/>
    <s v="Attempted to test the bonnet seal, obs'd hydraulic leakage from Annular BOP, troubleshoot fault and obs'd that the plug of the annular BOP drain pulled out fixed the fault. Carried out bonnet test against test plug and annular to 1500psi- ok and POOH test plug."/>
    <x v="0"/>
    <x v="0"/>
  </r>
  <r>
    <x v="15"/>
    <x v="4"/>
    <n v="1"/>
    <n v="4.1666666666666664E-2"/>
    <n v="11273.267070877375"/>
    <s v="Attempted to cont. RIH, Observed faulty brakes/Broken Draw-work caliper pin. Troubleshoot/Fixed same, Ok.    "/>
    <x v="0"/>
    <x v="0"/>
  </r>
  <r>
    <x v="16"/>
    <x v="5"/>
    <n v="3.5"/>
    <n v="0.14583333333333334"/>
    <n v="39456.434748070817"/>
    <s v="Observed Draw-works Low Clutch-Drive chain faulty, Troubleshoot/Fixed Same while cont. monitor well on TT. Loss Rate: 10BBLs/Hr."/>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C49459-0E99-4F5F-8E02-2E5A2CE15EC0}"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ategory">
  <location ref="A1:C4" firstHeaderRow="0" firstDataRow="1" firstDataCol="1"/>
  <pivotFields count="10">
    <pivotField axis="axisRow" numFmtId="14" showAll="0">
      <items count="18">
        <item x="0"/>
        <item x="1"/>
        <item x="2"/>
        <item x="3"/>
        <item x="4"/>
        <item x="5"/>
        <item x="6"/>
        <item x="7"/>
        <item x="8"/>
        <item x="9"/>
        <item x="10"/>
        <item x="11"/>
        <item x="12"/>
        <item x="13"/>
        <item x="14"/>
        <item x="15"/>
        <item x="16"/>
        <item t="default"/>
      </items>
    </pivotField>
    <pivotField showAll="0"/>
    <pivotField dataField="1" numFmtId="2" showAll="0"/>
    <pivotField numFmtId="2" showAll="0"/>
    <pivotField dataField="1" showAll="0"/>
    <pivotField showAll="0"/>
    <pivotField showAll="0"/>
    <pivotField showAll="0">
      <items count="9">
        <item x="1"/>
        <item x="3"/>
        <item x="4"/>
        <item x="5"/>
        <item x="0"/>
        <item x="2"/>
        <item x="6"/>
        <item h="1" m="1" x="7"/>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0"/>
  </rowFields>
  <rowItems count="3">
    <i>
      <x v="5"/>
    </i>
    <i>
      <x v="6"/>
    </i>
    <i>
      <x v="7"/>
    </i>
  </rowItems>
  <colFields count="1">
    <field x="-2"/>
  </colFields>
  <colItems count="2">
    <i>
      <x/>
    </i>
    <i i="1">
      <x v="1"/>
    </i>
  </colItems>
  <dataFields count="2">
    <dataField name="Sum of Hours (hr)" fld="2" baseField="0" baseItem="0" numFmtId="2"/>
    <dataField name="Sum of NPT Cost _x000a_($)"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228CBB-8C57-46F3-8B56-D5CB34A2210C}"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ategory">
  <location ref="A1:B7" firstHeaderRow="1" firstDataRow="1" firstDataCol="1"/>
  <pivotFields count="10">
    <pivotField numFmtId="14" showAll="0">
      <items count="18">
        <item x="0"/>
        <item x="1"/>
        <item x="2"/>
        <item x="3"/>
        <item x="4"/>
        <item x="5"/>
        <item x="6"/>
        <item x="7"/>
        <item x="8"/>
        <item x="9"/>
        <item x="10"/>
        <item x="11"/>
        <item x="12"/>
        <item x="13"/>
        <item x="14"/>
        <item x="15"/>
        <item x="16"/>
        <item t="default"/>
      </items>
    </pivotField>
    <pivotField showAll="0"/>
    <pivotField dataField="1" numFmtId="2" showAll="0"/>
    <pivotField numFmtId="2" showAll="0"/>
    <pivotField showAll="0"/>
    <pivotField showAll="0"/>
    <pivotField axis="axisRow" showAll="0">
      <items count="8">
        <item x="3"/>
        <item x="0"/>
        <item x="2"/>
        <item x="1"/>
        <item m="1" x="6"/>
        <item x="5"/>
        <item x="4"/>
        <item t="default"/>
      </items>
    </pivotField>
    <pivotField showAll="0">
      <items count="9">
        <item x="1"/>
        <item x="3"/>
        <item x="4"/>
        <item x="5"/>
        <item x="0"/>
        <item x="2"/>
        <item x="6"/>
        <item m="1"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5"/>
    </i>
    <i>
      <x v="6"/>
    </i>
  </rowItems>
  <colItems count="1">
    <i/>
  </colItems>
  <dataFields count="1">
    <dataField name="Sum of Hours (hr)" fld="2" baseField="0" baseItem="0" numFmtId="2"/>
  </dataFields>
  <formats count="5">
    <format dxfId="15">
      <pivotArea type="all" dataOnly="0" outline="0" fieldPosition="0"/>
    </format>
    <format dxfId="14">
      <pivotArea outline="0" collapsedLevelsAreSubtotals="1" fieldPosition="0"/>
    </format>
    <format dxfId="13">
      <pivotArea field="6" type="button" dataOnly="0" labelOnly="1" outline="0" axis="axisRow" fieldPosition="0"/>
    </format>
    <format dxfId="12">
      <pivotArea dataOnly="0" labelOnly="1" fieldPosition="0">
        <references count="1">
          <reference field="6" count="0"/>
        </references>
      </pivotArea>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3D2475-C967-4046-9D8A-AED5B3B77B87}"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sponsible Party">
  <location ref="A1:B8" firstHeaderRow="1" firstDataRow="1" firstDataCol="1"/>
  <pivotFields count="10">
    <pivotField numFmtId="14" showAll="0">
      <items count="18">
        <item x="0"/>
        <item x="1"/>
        <item x="2"/>
        <item x="3"/>
        <item x="4"/>
        <item x="5"/>
        <item x="6"/>
        <item x="7"/>
        <item x="8"/>
        <item x="9"/>
        <item x="10"/>
        <item x="11"/>
        <item x="12"/>
        <item x="13"/>
        <item x="14"/>
        <item x="15"/>
        <item x="16"/>
        <item t="default"/>
      </items>
    </pivotField>
    <pivotField showAll="0"/>
    <pivotField dataField="1" numFmtId="2" showAll="0"/>
    <pivotField numFmtId="2" showAll="0"/>
    <pivotField showAll="0"/>
    <pivotField showAll="0"/>
    <pivotField showAll="0"/>
    <pivotField axis="axisRow" showAll="0">
      <items count="9">
        <item x="1"/>
        <item x="3"/>
        <item x="0"/>
        <item x="2"/>
        <item m="1" x="7"/>
        <item x="4"/>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7">
    <i>
      <x/>
    </i>
    <i>
      <x v="1"/>
    </i>
    <i>
      <x v="2"/>
    </i>
    <i>
      <x v="3"/>
    </i>
    <i>
      <x v="5"/>
    </i>
    <i>
      <x v="6"/>
    </i>
    <i>
      <x v="7"/>
    </i>
  </rowItems>
  <colItems count="1">
    <i/>
  </colItems>
  <dataFields count="1">
    <dataField name="Sum of Hours (hr)" fld="2"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6D7251-FDEB-4546-9605-73B4F6F0370F}"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hases">
  <location ref="A1:B7" firstHeaderRow="1" firstDataRow="1" firstDataCol="1"/>
  <pivotFields count="10">
    <pivotField numFmtId="14" showAll="0">
      <items count="18">
        <item x="0"/>
        <item x="1"/>
        <item x="2"/>
        <item x="3"/>
        <item x="4"/>
        <item x="5"/>
        <item x="6"/>
        <item x="7"/>
        <item x="8"/>
        <item x="9"/>
        <item x="10"/>
        <item x="11"/>
        <item x="12"/>
        <item x="13"/>
        <item x="14"/>
        <item x="15"/>
        <item x="16"/>
        <item t="default"/>
      </items>
    </pivotField>
    <pivotField axis="axisRow" showAll="0">
      <items count="10">
        <item x="0"/>
        <item x="1"/>
        <item m="1" x="8"/>
        <item m="1" x="6"/>
        <item m="1" x="7"/>
        <item x="2"/>
        <item x="3"/>
        <item x="4"/>
        <item x="5"/>
        <item t="default"/>
      </items>
    </pivotField>
    <pivotField dataField="1" numFmtId="2" showAll="0"/>
    <pivotField numFmtId="2" showAll="0"/>
    <pivotField showAll="0"/>
    <pivotField showAll="0"/>
    <pivotField showAll="0"/>
    <pivotField showAll="0">
      <items count="9">
        <item x="1"/>
        <item x="3"/>
        <item x="4"/>
        <item x="5"/>
        <item x="0"/>
        <item x="2"/>
        <item x="6"/>
        <item m="1"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5"/>
    </i>
    <i>
      <x v="6"/>
    </i>
    <i>
      <x v="7"/>
    </i>
    <i>
      <x v="8"/>
    </i>
  </rowItems>
  <colItems count="1">
    <i/>
  </colItems>
  <dataFields count="1">
    <dataField name="Sum of Hours (hr)" fld="2"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AE5E23-C5F0-40AD-A9FB-69CEDA623746}" name="NPTbyHr_Cost" displayName="NPTbyHr_Cost" ref="A1:C5" totalsRowShown="0">
  <tableColumns count="3">
    <tableColumn id="1" xr3:uid="{68605EA8-28C2-4962-B28D-CA8DC52BE162}" name="Month" dataDxfId="16"/>
    <tableColumn id="2" xr3:uid="{6BD3F7A5-B766-413C-BA00-2EA2576C7B05}" name="NPT (Hrs)"/>
    <tableColumn id="3" xr3:uid="{4279A9F8-5362-4DF8-88A0-A610D2773AFF}" name="NPT Cost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18EE8-2D70-4244-BB85-B7516DA054D4}">
  <dimension ref="A1:E7"/>
  <sheetViews>
    <sheetView tabSelected="1" workbookViewId="0">
      <selection activeCell="G7" sqref="G7"/>
    </sheetView>
  </sheetViews>
  <sheetFormatPr defaultRowHeight="14.5" x14ac:dyDescent="0.35"/>
  <cols>
    <col min="1" max="1" width="17.08984375" bestFit="1" customWidth="1"/>
    <col min="2" max="2" width="12.08984375" bestFit="1" customWidth="1"/>
  </cols>
  <sheetData>
    <row r="1" spans="1:5" x14ac:dyDescent="0.35">
      <c r="A1" t="s">
        <v>7</v>
      </c>
      <c r="B1" t="s">
        <v>41</v>
      </c>
      <c r="C1" t="s">
        <v>42</v>
      </c>
      <c r="D1" t="s">
        <v>43</v>
      </c>
      <c r="E1" t="s">
        <v>44</v>
      </c>
    </row>
    <row r="2" spans="1:5" x14ac:dyDescent="0.35">
      <c r="A2" t="s">
        <v>11</v>
      </c>
      <c r="B2" s="5">
        <f>[1]Date!F3*24</f>
        <v>2415</v>
      </c>
      <c r="C2" t="s">
        <v>12</v>
      </c>
      <c r="D2" s="6">
        <f>B2/24</f>
        <v>100.625</v>
      </c>
      <c r="E2" t="s">
        <v>13</v>
      </c>
    </row>
    <row r="3" spans="1:5" x14ac:dyDescent="0.35">
      <c r="A3" t="s">
        <v>17</v>
      </c>
      <c r="B3" s="6">
        <f>SUM(mon_npt_cost!B2:B4)</f>
        <v>359</v>
      </c>
      <c r="C3" t="s">
        <v>12</v>
      </c>
      <c r="D3" s="6">
        <f>B3/24</f>
        <v>14.958333333333334</v>
      </c>
      <c r="E3" t="s">
        <v>13</v>
      </c>
    </row>
    <row r="4" spans="1:5" x14ac:dyDescent="0.35">
      <c r="A4" t="s">
        <v>21</v>
      </c>
      <c r="B4" s="7">
        <f>B3/B2</f>
        <v>0.14865424430641822</v>
      </c>
      <c r="C4" t="s">
        <v>39</v>
      </c>
      <c r="D4" s="6"/>
    </row>
    <row r="5" spans="1:5" x14ac:dyDescent="0.35">
      <c r="A5" t="s">
        <v>25</v>
      </c>
      <c r="B5" s="8">
        <f>SUM(mon_npt_cost!C2:C4)</f>
        <v>3895010.3582989485</v>
      </c>
      <c r="C5" t="s">
        <v>40</v>
      </c>
      <c r="D5" s="6"/>
    </row>
    <row r="6" spans="1:5" x14ac:dyDescent="0.35">
      <c r="A6" t="s">
        <v>29</v>
      </c>
      <c r="B6" s="6">
        <f>B2-B3</f>
        <v>2056</v>
      </c>
      <c r="C6" t="s">
        <v>12</v>
      </c>
      <c r="D6" s="6">
        <f>B6/24</f>
        <v>85.666666666666671</v>
      </c>
      <c r="E6" t="s">
        <v>13</v>
      </c>
    </row>
    <row r="7" spans="1:5" x14ac:dyDescent="0.35">
      <c r="A7" t="s">
        <v>33</v>
      </c>
      <c r="B7" s="9">
        <f>1-B4</f>
        <v>0.85134575569358173</v>
      </c>
      <c r="C7"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6DDF4-212C-4AD6-A397-20CD9C04D5BE}">
  <dimension ref="A1:C5"/>
  <sheetViews>
    <sheetView workbookViewId="0">
      <selection activeCell="K3" sqref="K3"/>
    </sheetView>
  </sheetViews>
  <sheetFormatPr defaultRowHeight="14.5" x14ac:dyDescent="0.35"/>
  <cols>
    <col min="1" max="1" width="8.36328125" bestFit="1" customWidth="1"/>
    <col min="2" max="2" width="10.81640625" bestFit="1" customWidth="1"/>
    <col min="3" max="3" width="13.1796875" bestFit="1" customWidth="1"/>
  </cols>
  <sheetData>
    <row r="1" spans="1:3" x14ac:dyDescent="0.35">
      <c r="A1" t="s">
        <v>0</v>
      </c>
      <c r="B1" t="s">
        <v>1</v>
      </c>
      <c r="C1" t="s">
        <v>2</v>
      </c>
    </row>
    <row r="2" spans="1:3" x14ac:dyDescent="0.35">
      <c r="A2" s="1">
        <v>46143</v>
      </c>
      <c r="B2">
        <f>SUMIFS([1]!NPT[Hours (hr)], [1]!NPT[Date], "&gt;=" &amp; A2, [1]!NPT[Date], "&lt;=" &amp; EOMONTH(A2,0))</f>
        <v>216</v>
      </c>
      <c r="C2" s="2">
        <f>SUMIFS([1]!NPT[NPT Cost 
($)], [1]!NPT[Date], "&gt;=" &amp; A2, [1]!NPT[Date], "&lt;=" &amp; EOMONTH(A2,0))</f>
        <v>2137405.5066475002</v>
      </c>
    </row>
    <row r="3" spans="1:3" x14ac:dyDescent="0.35">
      <c r="A3" s="1">
        <v>46174</v>
      </c>
      <c r="B3">
        <f>SUMIFS([1]!NPT[Hours (hr)], [1]!NPT[Date], "&gt;=" &amp; A3, [1]!NPT[Hours (hr)], "&lt;=" &amp; EOMONTH(A3,0))</f>
        <v>143</v>
      </c>
      <c r="C3" s="2">
        <f>SUMIFS([1]!NPT[NPT Cost 
($)], [1]!NPT[Date], "&gt;=" &amp; A3, [1]!NPT[Date], "&lt;=" &amp; EOMONTH(A3,0))</f>
        <v>1621039.6914991667</v>
      </c>
    </row>
    <row r="4" spans="1:3" x14ac:dyDescent="0.35">
      <c r="A4" s="1">
        <v>46204</v>
      </c>
      <c r="B4">
        <f>SUMIFS([1]!NPT[Hours (hr)], [1]!NPT[Date], "&gt;=" &amp; A4, [1]!NPT[Hours (hr)], "&lt;=" &amp; EOMONTH(A4,0))</f>
        <v>11.5</v>
      </c>
      <c r="C4" s="2">
        <f>SUMIFS([1]!NPT[NPT Cost 
($)], [1]!NPT[Date], "&gt;=" &amp; A4, [1]!NPT[Date], "&lt;=" &amp; EOMONTH(A4,0))</f>
        <v>136565.16015228152</v>
      </c>
    </row>
    <row r="5" spans="1:3" x14ac:dyDescent="0.35">
      <c r="A5" s="1"/>
      <c r="C5"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7CB20-3BF1-43EF-AEC2-DDA04B28D38B}">
  <dimension ref="A1:F4"/>
  <sheetViews>
    <sheetView workbookViewId="0">
      <selection activeCell="C17" sqref="C17"/>
    </sheetView>
  </sheetViews>
  <sheetFormatPr defaultRowHeight="14.5" x14ac:dyDescent="0.35"/>
  <cols>
    <col min="3" max="3" width="18.08984375" bestFit="1" customWidth="1"/>
    <col min="4" max="4" width="4.08984375" bestFit="1" customWidth="1"/>
    <col min="6" max="6" width="11.81640625" bestFit="1" customWidth="1"/>
  </cols>
  <sheetData>
    <row r="1" spans="1:6" x14ac:dyDescent="0.35">
      <c r="A1" s="10" t="s">
        <v>3</v>
      </c>
      <c r="B1" t="s">
        <v>4</v>
      </c>
      <c r="C1" t="s">
        <v>35</v>
      </c>
    </row>
    <row r="2" spans="1:6" x14ac:dyDescent="0.35">
      <c r="A2" s="3" t="s">
        <v>36</v>
      </c>
      <c r="B2" s="4">
        <v>216</v>
      </c>
      <c r="C2">
        <v>2137405.5066475002</v>
      </c>
      <c r="D2" t="str">
        <f>IF(ISBLANK(A2),NA(),A2)</f>
        <v>May</v>
      </c>
      <c r="E2">
        <f>IF(ISBLANK(B2),NA(),B2)</f>
        <v>216</v>
      </c>
      <c r="F2" s="4">
        <f>IF(ISBLANK(C2),NA(),C2)</f>
        <v>2137405.5066475002</v>
      </c>
    </row>
    <row r="3" spans="1:6" x14ac:dyDescent="0.35">
      <c r="A3" s="3" t="s">
        <v>37</v>
      </c>
      <c r="B3" s="4">
        <v>131.5</v>
      </c>
      <c r="C3">
        <v>1621039.6914991667</v>
      </c>
      <c r="D3" t="str">
        <f>IF(ISBLANK(A3),NA(),A3)</f>
        <v>Jun</v>
      </c>
      <c r="E3">
        <f>IF(ISBLANK(B3),NA(),B3)</f>
        <v>131.5</v>
      </c>
      <c r="F3">
        <f>IF(ISBLANK(C3),NA(),C3)</f>
        <v>1621039.6914991667</v>
      </c>
    </row>
    <row r="4" spans="1:6" x14ac:dyDescent="0.35">
      <c r="A4" s="3" t="s">
        <v>38</v>
      </c>
      <c r="B4" s="4">
        <v>11.5</v>
      </c>
      <c r="C4">
        <v>136565.16015228152</v>
      </c>
      <c r="D4" t="str">
        <f>IF(ISBLANK(A4),NA(),A4)</f>
        <v>Jul</v>
      </c>
      <c r="E4">
        <f>IF(ISBLANK(B4),NA(),B4)</f>
        <v>11.5</v>
      </c>
      <c r="F4">
        <f>IF(ISBLANK(C4),NA(),C4)</f>
        <v>136565.16015228152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1DBBD-7D71-4C61-B5D3-16FF2AD12827}">
  <dimension ref="A1:D7"/>
  <sheetViews>
    <sheetView workbookViewId="0">
      <selection activeCell="F18" sqref="F18"/>
    </sheetView>
  </sheetViews>
  <sheetFormatPr defaultRowHeight="14.5" x14ac:dyDescent="0.35"/>
  <cols>
    <col min="1" max="1" width="15.453125" bestFit="1" customWidth="1"/>
    <col min="2" max="2" width="15.36328125" bestFit="1" customWidth="1"/>
    <col min="3" max="3" width="15.453125" bestFit="1" customWidth="1"/>
  </cols>
  <sheetData>
    <row r="1" spans="1:4" x14ac:dyDescent="0.35">
      <c r="A1" s="11" t="s">
        <v>3</v>
      </c>
      <c r="B1" s="12" t="s">
        <v>4</v>
      </c>
    </row>
    <row r="2" spans="1:4" x14ac:dyDescent="0.35">
      <c r="A2" s="13" t="s">
        <v>8</v>
      </c>
      <c r="B2" s="14">
        <v>140</v>
      </c>
      <c r="C2" t="str">
        <f>IF(ISBLANK(A2),NA(),A2)</f>
        <v>Human Error</v>
      </c>
      <c r="D2">
        <f>IF(ISBLANK(B2),NA(),B2)</f>
        <v>140</v>
      </c>
    </row>
    <row r="3" spans="1:4" x14ac:dyDescent="0.35">
      <c r="A3" s="13" t="s">
        <v>14</v>
      </c>
      <c r="B3" s="14">
        <v>132</v>
      </c>
      <c r="C3" t="str">
        <f>IF(ISBLANK(A3),NA(),A3)</f>
        <v>Equipment Failure</v>
      </c>
      <c r="D3">
        <f>IF(ISBLANK(B3),NA(),B3)</f>
        <v>132</v>
      </c>
    </row>
    <row r="4" spans="1:4" x14ac:dyDescent="0.35">
      <c r="A4" s="13" t="s">
        <v>18</v>
      </c>
      <c r="B4" s="14">
        <v>70.5</v>
      </c>
      <c r="C4" t="str">
        <f>IF(ISBLANK(A4),NA(),A4)</f>
        <v>Mechanical</v>
      </c>
      <c r="D4">
        <f>IF(ISBLANK(B4),NA(),B4)</f>
        <v>70.5</v>
      </c>
    </row>
    <row r="5" spans="1:4" x14ac:dyDescent="0.35">
      <c r="A5" s="13" t="s">
        <v>22</v>
      </c>
      <c r="B5" s="14">
        <v>11</v>
      </c>
      <c r="C5" t="str">
        <f>IF(ISBLANK(A5),NA(),A5)</f>
        <v>Mud / Solids</v>
      </c>
      <c r="D5">
        <f>IF(ISBLANK(B5),NA(),B5)</f>
        <v>11</v>
      </c>
    </row>
    <row r="6" spans="1:4" x14ac:dyDescent="0.35">
      <c r="A6" s="13" t="s">
        <v>26</v>
      </c>
      <c r="B6" s="14">
        <v>4</v>
      </c>
      <c r="C6" t="str">
        <f>IF(ISBLANK(A6),NA(),A6)</f>
        <v>Wellhead</v>
      </c>
      <c r="D6">
        <f>IF(ISBLANK(B6),NA(),B6)</f>
        <v>4</v>
      </c>
    </row>
    <row r="7" spans="1:4" x14ac:dyDescent="0.35">
      <c r="A7" s="13" t="s">
        <v>30</v>
      </c>
      <c r="B7" s="14">
        <v>1.5</v>
      </c>
      <c r="C7" t="str">
        <f>IF(ISBLANK(A7),NA(),A7)</f>
        <v>Cementing</v>
      </c>
      <c r="D7">
        <f>IF(ISBLANK(B7),NA(),B7)</f>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7E2EC-DCD2-4794-9FAF-4FB133A5834C}">
  <dimension ref="A1:D8"/>
  <sheetViews>
    <sheetView workbookViewId="0">
      <selection activeCell="G17" sqref="G17"/>
    </sheetView>
  </sheetViews>
  <sheetFormatPr defaultRowHeight="14.5" x14ac:dyDescent="0.35"/>
  <cols>
    <col min="1" max="1" width="18.1796875" bestFit="1" customWidth="1"/>
    <col min="2" max="2" width="15.36328125" bestFit="1" customWidth="1"/>
    <col min="3" max="3" width="10" bestFit="1" customWidth="1"/>
  </cols>
  <sheetData>
    <row r="1" spans="1:4" x14ac:dyDescent="0.35">
      <c r="A1" s="10" t="s">
        <v>5</v>
      </c>
      <c r="B1" t="s">
        <v>4</v>
      </c>
    </row>
    <row r="2" spans="1:4" x14ac:dyDescent="0.35">
      <c r="A2" s="3" t="s">
        <v>9</v>
      </c>
      <c r="B2" s="4">
        <v>11</v>
      </c>
      <c r="C2" t="str">
        <f>IF(ISBLANK(A2),NA(),A2)</f>
        <v>Clinton</v>
      </c>
      <c r="D2">
        <f>IF(ISBLANK(B2),NA(),B2)</f>
        <v>11</v>
      </c>
    </row>
    <row r="3" spans="1:4" x14ac:dyDescent="0.35">
      <c r="A3" s="3" t="s">
        <v>15</v>
      </c>
      <c r="B3" s="4">
        <v>140</v>
      </c>
      <c r="C3" t="str">
        <f>IF(ISBLANK(A3),NA(),A3)</f>
        <v>Geowell</v>
      </c>
      <c r="D3">
        <f>IF(ISBLANK(B3),NA(),B3)</f>
        <v>140</v>
      </c>
    </row>
    <row r="4" spans="1:4" x14ac:dyDescent="0.35">
      <c r="A4" s="3" t="s">
        <v>19</v>
      </c>
      <c r="B4" s="4">
        <v>153</v>
      </c>
      <c r="C4" t="str">
        <f>IF(ISBLANK(A4),NA(),A4)</f>
        <v>SMS Joy</v>
      </c>
      <c r="D4">
        <f>IF(ISBLANK(B4),NA(),B4)</f>
        <v>153</v>
      </c>
    </row>
    <row r="5" spans="1:4" x14ac:dyDescent="0.35">
      <c r="A5" s="3" t="s">
        <v>23</v>
      </c>
      <c r="B5" s="4">
        <v>48.5</v>
      </c>
      <c r="C5" t="str">
        <f>IF(ISBLANK(A5),NA(),A5)</f>
        <v>TBD</v>
      </c>
      <c r="D5">
        <f>IF(ISBLANK(B5),NA(),B5)</f>
        <v>48.5</v>
      </c>
    </row>
    <row r="6" spans="1:4" x14ac:dyDescent="0.35">
      <c r="A6" s="3" t="s">
        <v>27</v>
      </c>
      <c r="B6" s="4">
        <v>1.0000000000000004</v>
      </c>
      <c r="C6" t="str">
        <f>IF(ISBLANK(A6),NA(),A6)</f>
        <v>Mega Field</v>
      </c>
      <c r="D6">
        <f>IF(ISBLANK(B6),NA(),B6)</f>
        <v>1.0000000000000004</v>
      </c>
    </row>
    <row r="7" spans="1:4" x14ac:dyDescent="0.35">
      <c r="A7" s="3" t="s">
        <v>31</v>
      </c>
      <c r="B7" s="4">
        <v>1.5</v>
      </c>
      <c r="C7" t="str">
        <f>IF(ISBLANK(A7),NA(),A7)</f>
        <v>MultiChase</v>
      </c>
      <c r="D7">
        <f>IF(ISBLANK(B7),NA(),B7)</f>
        <v>1.5</v>
      </c>
    </row>
    <row r="8" spans="1:4" x14ac:dyDescent="0.35">
      <c r="A8" s="3" t="s">
        <v>34</v>
      </c>
      <c r="B8" s="4">
        <v>4</v>
      </c>
      <c r="C8" t="str">
        <f>IF(ISBLANK(A8),NA(),A8)</f>
        <v>Ulla</v>
      </c>
      <c r="D8">
        <f>IF(ISBLANK(B8),NA(),B8)</f>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FEEA6-045F-4F09-BE9B-616E0B035F7E}">
  <dimension ref="A1:D7"/>
  <sheetViews>
    <sheetView workbookViewId="0">
      <selection activeCell="G7" sqref="G7"/>
    </sheetView>
  </sheetViews>
  <sheetFormatPr defaultRowHeight="14.5" x14ac:dyDescent="0.35"/>
  <cols>
    <col min="1" max="1" width="28.81640625" bestFit="1" customWidth="1"/>
    <col min="2" max="2" width="15.08984375" customWidth="1"/>
    <col min="3" max="3" width="28.81640625" bestFit="1" customWidth="1"/>
    <col min="8" max="8" width="10.453125" bestFit="1" customWidth="1"/>
    <col min="9" max="9" width="15.36328125" bestFit="1" customWidth="1"/>
    <col min="10" max="10" width="18.08984375" bestFit="1" customWidth="1"/>
    <col min="13" max="13" width="12.7265625" bestFit="1" customWidth="1"/>
    <col min="14" max="14" width="15.453125" bestFit="1" customWidth="1"/>
    <col min="15" max="15" width="15.36328125" bestFit="1" customWidth="1"/>
    <col min="16" max="16" width="16.1796875" customWidth="1"/>
    <col min="20" max="20" width="18.1796875" bestFit="1" customWidth="1"/>
    <col min="21" max="21" width="15.36328125" bestFit="1" customWidth="1"/>
    <col min="22" max="22" width="10.54296875" customWidth="1"/>
    <col min="26" max="26" width="28.81640625" bestFit="1" customWidth="1"/>
    <col min="27" max="27" width="15.36328125" bestFit="1" customWidth="1"/>
    <col min="28" max="28" width="23.81640625" customWidth="1"/>
  </cols>
  <sheetData>
    <row r="1" spans="1:4" x14ac:dyDescent="0.35">
      <c r="A1" s="10" t="s">
        <v>6</v>
      </c>
      <c r="B1" t="s">
        <v>4</v>
      </c>
    </row>
    <row r="2" spans="1:4" x14ac:dyDescent="0.35">
      <c r="A2" s="3" t="s">
        <v>10</v>
      </c>
      <c r="B2" s="4">
        <v>2.5</v>
      </c>
      <c r="C2" t="str">
        <f>IF(ISBLANK(A2),NA(),A2)</f>
        <v>Conductor Piling/Cleanout</v>
      </c>
      <c r="D2">
        <f>IF(ISBLANK(B2),NA(),B2)</f>
        <v>2.5</v>
      </c>
    </row>
    <row r="3" spans="1:4" x14ac:dyDescent="0.35">
      <c r="A3" s="3" t="s">
        <v>16</v>
      </c>
      <c r="B3" s="4">
        <v>188.5</v>
      </c>
      <c r="C3" t="str">
        <f t="shared" ref="C3:D7" si="0">IF(ISBLANK(A3),NA(),A3)</f>
        <v>17-1/2" x  23" Hole Section</v>
      </c>
      <c r="D3">
        <f t="shared" si="0"/>
        <v>188.5</v>
      </c>
    </row>
    <row r="4" spans="1:4" x14ac:dyDescent="0.35">
      <c r="A4" s="3" t="s">
        <v>20</v>
      </c>
      <c r="B4" s="4">
        <v>44</v>
      </c>
      <c r="C4" t="str">
        <f t="shared" si="0"/>
        <v>16" Hole Section</v>
      </c>
      <c r="D4">
        <f t="shared" si="0"/>
        <v>44</v>
      </c>
    </row>
    <row r="5" spans="1:4" x14ac:dyDescent="0.35">
      <c r="A5" s="3" t="s">
        <v>24</v>
      </c>
      <c r="B5" s="4">
        <v>119.5</v>
      </c>
      <c r="C5" t="str">
        <f t="shared" si="0"/>
        <v>12 1/4" Hole Section</v>
      </c>
      <c r="D5">
        <f t="shared" si="0"/>
        <v>119.5</v>
      </c>
    </row>
    <row r="6" spans="1:4" x14ac:dyDescent="0.35">
      <c r="A6" s="3" t="s">
        <v>28</v>
      </c>
      <c r="B6" s="4">
        <v>1</v>
      </c>
      <c r="C6" t="str">
        <f t="shared" si="0"/>
        <v>Perforation and Wellbore Cleanout</v>
      </c>
      <c r="D6">
        <f t="shared" si="0"/>
        <v>1</v>
      </c>
    </row>
    <row r="7" spans="1:4" x14ac:dyDescent="0.35">
      <c r="A7" s="3" t="s">
        <v>32</v>
      </c>
      <c r="B7" s="4">
        <v>3.5</v>
      </c>
      <c r="C7" t="str">
        <f t="shared" si="0"/>
        <v>Completions</v>
      </c>
      <c r="D7">
        <f t="shared" si="0"/>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KPI</vt:lpstr>
      <vt:lpstr>mon_npt</vt:lpstr>
      <vt:lpstr>mon_npt_cost</vt:lpstr>
      <vt:lpstr>cat_npt</vt:lpstr>
      <vt:lpstr>par_npt</vt:lpstr>
      <vt:lpstr>phase_npt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Isaiah Yusuf</dc:creator>
  <cp:lastModifiedBy>Isaiah Yusuf</cp:lastModifiedBy>
  <dcterms:created xsi:type="dcterms:W3CDTF">2026-08-25T08:48:18Z</dcterms:created>
  <dcterms:modified xsi:type="dcterms:W3CDTF">2026-08-25T17:39:40Z</dcterms:modified>
</cp:coreProperties>
</file>